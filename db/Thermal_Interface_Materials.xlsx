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2890" windowHeight="11505"/>
  </bookViews>
  <sheets>
    <sheet name="Tabelle1" sheetId="4" r:id="rId1"/>
  </sheets>
  <definedNames>
    <definedName name="are" localSheetId="0">Tabelle1!$U$13</definedName>
    <definedName name="are">#REF!</definedName>
    <definedName name="area" localSheetId="0">Tabelle1!$U$13</definedName>
    <definedName name="area">#REF!</definedName>
    <definedName name="thConductivity" localSheetId="0">Tabelle1!$U$12</definedName>
    <definedName name="thConductivity">#REF!</definedName>
    <definedName name="thickness" localSheetId="0">Tabelle1!$U$9</definedName>
    <definedName name="thickness">#REF!</definedName>
    <definedName name="thikness" localSheetId="0">Tabelle1!$U$9</definedName>
    <definedName name="thikness">#REF!</definedName>
  </definedNames>
  <calcPr calcId="145621"/>
</workbook>
</file>

<file path=xl/calcChain.xml><?xml version="1.0" encoding="utf-8"?>
<calcChain xmlns="http://schemas.openxmlformats.org/spreadsheetml/2006/main">
  <c r="K27" i="4" l="1"/>
  <c r="J27" i="4"/>
  <c r="K26" i="4"/>
  <c r="J26" i="4"/>
  <c r="K19" i="4" l="1"/>
  <c r="P19" i="4" s="1"/>
  <c r="K16" i="4"/>
  <c r="K14" i="4"/>
  <c r="P14" i="4" s="1"/>
  <c r="P17" i="4"/>
  <c r="P18" i="4"/>
  <c r="K18" i="4"/>
  <c r="K17" i="4"/>
  <c r="P15" i="4"/>
  <c r="P16" i="4"/>
  <c r="K15" i="4"/>
  <c r="P11" i="4" l="1"/>
  <c r="L23" i="4" l="1"/>
  <c r="K23" i="4"/>
  <c r="M22" i="4"/>
  <c r="L22" i="4"/>
  <c r="K22" i="4"/>
  <c r="P22" i="4" s="1"/>
  <c r="J22" i="4"/>
  <c r="P7" i="4" l="1"/>
  <c r="P8" i="4"/>
  <c r="P9" i="4"/>
  <c r="P20" i="4"/>
  <c r="P25" i="4"/>
  <c r="P28" i="4"/>
  <c r="P29" i="4"/>
  <c r="P30" i="4"/>
  <c r="P31" i="4"/>
  <c r="P32" i="4"/>
  <c r="P33" i="4"/>
  <c r="P34" i="4"/>
  <c r="P37" i="4"/>
  <c r="P41" i="4"/>
  <c r="P42" i="4"/>
  <c r="P43" i="4"/>
  <c r="P45" i="4"/>
  <c r="P6" i="4"/>
  <c r="P10" i="4"/>
  <c r="L10" i="4"/>
  <c r="J8" i="4"/>
  <c r="J9" i="4"/>
  <c r="J12" i="4"/>
  <c r="J13" i="4"/>
  <c r="J20" i="4"/>
  <c r="J21" i="4"/>
  <c r="J23" i="4"/>
  <c r="J24" i="4"/>
  <c r="J25" i="4"/>
  <c r="J28" i="4"/>
  <c r="J29" i="4"/>
  <c r="J30" i="4"/>
  <c r="J31" i="4"/>
  <c r="J32" i="4"/>
  <c r="J33" i="4"/>
  <c r="J36" i="4"/>
  <c r="J38" i="4"/>
  <c r="J39" i="4"/>
  <c r="J41" i="4"/>
  <c r="J42" i="4"/>
  <c r="J7" i="4"/>
  <c r="J6" i="4"/>
  <c r="L36" i="4"/>
  <c r="K36" i="4"/>
  <c r="L35" i="4"/>
  <c r="K35" i="4"/>
  <c r="L25" i="4"/>
  <c r="L24" i="4"/>
  <c r="K25" i="4"/>
  <c r="K24" i="4"/>
  <c r="P24" i="4" s="1"/>
  <c r="M23" i="4"/>
  <c r="P23" i="4"/>
  <c r="L21" i="4"/>
  <c r="K21" i="4"/>
  <c r="P21" i="4" s="1"/>
  <c r="L20" i="4"/>
  <c r="K20" i="4"/>
  <c r="K12" i="4"/>
  <c r="P12" i="4" s="1"/>
  <c r="L13" i="4"/>
  <c r="K13" i="4"/>
  <c r="P13" i="4" s="1"/>
  <c r="L12" i="4"/>
  <c r="J35" i="4" l="1"/>
  <c r="E36" i="4"/>
  <c r="P36" i="4" s="1"/>
  <c r="J34" i="4" l="1"/>
  <c r="J37" i="4"/>
  <c r="E35" i="4"/>
  <c r="P35" i="4" s="1"/>
  <c r="E39" i="4"/>
  <c r="P39" i="4" s="1"/>
  <c r="E38" i="4"/>
  <c r="P38" i="4" s="1"/>
</calcChain>
</file>

<file path=xl/sharedStrings.xml><?xml version="1.0" encoding="utf-8"?>
<sst xmlns="http://schemas.openxmlformats.org/spreadsheetml/2006/main" count="210" uniqueCount="87">
  <si>
    <t>Tgard TNC-4</t>
  </si>
  <si>
    <t>Tgard 5000</t>
  </si>
  <si>
    <t>Keratherm U90</t>
  </si>
  <si>
    <t>HALA</t>
  </si>
  <si>
    <t>TPC-S050-KA</t>
  </si>
  <si>
    <t>LairdTech</t>
  </si>
  <si>
    <t>Kerafol</t>
  </si>
  <si>
    <t>Manufacturer</t>
  </si>
  <si>
    <t>Wacker</t>
  </si>
  <si>
    <t>P12</t>
  </si>
  <si>
    <t>Electrolube</t>
  </si>
  <si>
    <t>HTC</t>
  </si>
  <si>
    <t>HTCP</t>
  </si>
  <si>
    <t>HTCPX</t>
  </si>
  <si>
    <t>Ceramic</t>
  </si>
  <si>
    <t>Solder</t>
  </si>
  <si>
    <t>Copper</t>
  </si>
  <si>
    <t>Type</t>
  </si>
  <si>
    <t>Description</t>
  </si>
  <si>
    <t>Tgard TNC-5</t>
  </si>
  <si>
    <t>HTCX</t>
  </si>
  <si>
    <t>HTCPX-LV</t>
  </si>
  <si>
    <t>KU-ALF5/H2</t>
  </si>
  <si>
    <t>TFO-X300-SI-A1</t>
  </si>
  <si>
    <t>TFO-X200-SI-A1</t>
  </si>
  <si>
    <t>Keratherm U85</t>
  </si>
  <si>
    <t>Bergquist</t>
  </si>
  <si>
    <t>KU-ALC5/H</t>
  </si>
  <si>
    <t>TPC-S075-KA</t>
  </si>
  <si>
    <t>thermally conductive insulator foil with silicone</t>
  </si>
  <si>
    <t>thermally conductive, heat curable adhesive insulator foil</t>
  </si>
  <si>
    <t>thermally conductive insulator foil, silicone free</t>
  </si>
  <si>
    <t>thermally conductive insulator foil with phase-change compound</t>
  </si>
  <si>
    <t>alu foil with phase-change compound</t>
  </si>
  <si>
    <t>Ceramic AlN</t>
  </si>
  <si>
    <t>Softtherm 86/600</t>
  </si>
  <si>
    <t>Quotes</t>
  </si>
  <si>
    <t>TGF-JXS1000-SI-A1</t>
  </si>
  <si>
    <t>TGF-JXS2000-SI-A1</t>
  </si>
  <si>
    <t>Gapfiller pad 1mm</t>
  </si>
  <si>
    <t>Gapfiller pad 2mm</t>
  </si>
  <si>
    <t>quote</t>
  </si>
  <si>
    <t>Gapfiller pad 0.5mm</t>
  </si>
  <si>
    <t>Tflex 50000</t>
  </si>
  <si>
    <t>Gapfiller pad 3mm</t>
  </si>
  <si>
    <t>Infor 14800</t>
  </si>
  <si>
    <t>X</t>
  </si>
  <si>
    <t>thermally conductive insulator foil, silicone free @ 50psi (=34N/cm^2)</t>
  </si>
  <si>
    <t>thermally conductive insulator foil with silicone @ 50psi</t>
  </si>
  <si>
    <t>Thermal Conductivity</t>
  </si>
  <si>
    <t>Surface Interface</t>
  </si>
  <si>
    <t>Mounting</t>
  </si>
  <si>
    <t>Isolation Voltage</t>
  </si>
  <si>
    <t>kVAC</t>
  </si>
  <si>
    <t>mm</t>
  </si>
  <si>
    <t>W/(m*K)</t>
  </si>
  <si>
    <r>
      <t>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*K/W</t>
    </r>
  </si>
  <si>
    <r>
      <t>N/cm</t>
    </r>
    <r>
      <rPr>
        <b/>
        <vertAlign val="superscript"/>
        <sz val="11"/>
        <color theme="1"/>
        <rFont val="Calibri"/>
        <family val="2"/>
        <scheme val="minor"/>
      </rPr>
      <t>2</t>
    </r>
  </si>
  <si>
    <t>(Rth x Area) / Isolation Voltage</t>
  </si>
  <si>
    <r>
      <t>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*K/(W*kV)</t>
    </r>
  </si>
  <si>
    <t>yes</t>
  </si>
  <si>
    <t>no</t>
  </si>
  <si>
    <r>
      <t>Rth x Area
@ 35N/cm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(50psi)</t>
    </r>
  </si>
  <si>
    <t>Max. Pressure</t>
  </si>
  <si>
    <t>Rth x Area
@ Max. Pressure</t>
  </si>
  <si>
    <t>TIM paste (guarded hot plate)</t>
  </si>
  <si>
    <t>Gapfiller paste (guarded hot plate)</t>
  </si>
  <si>
    <t>Rth x Area
no pressure</t>
  </si>
  <si>
    <t>No Pressure Thickness</t>
  </si>
  <si>
    <t>HF300P-0.001</t>
  </si>
  <si>
    <t>HF300P-0.002</t>
  </si>
  <si>
    <r>
      <t xml:space="preserve">Dielectric constant </t>
    </r>
    <r>
      <rPr>
        <b/>
        <sz val="11"/>
        <color theme="1"/>
        <rFont val="Calibri"/>
        <family val="2"/>
      </rPr>
      <t>ε</t>
    </r>
    <r>
      <rPr>
        <b/>
        <vertAlign val="subscript"/>
        <sz val="7.7"/>
        <color theme="1"/>
        <rFont val="Calibri"/>
        <family val="2"/>
      </rPr>
      <t>r</t>
    </r>
  </si>
  <si>
    <t>Keratherm 86/60</t>
  </si>
  <si>
    <t>thermally conductive insulator foil</t>
  </si>
  <si>
    <t>TPC-P051-KA</t>
  </si>
  <si>
    <t>TPC-P077-KA</t>
  </si>
  <si>
    <t>TPC-P102-KA</t>
  </si>
  <si>
    <t>TPC-N051-PI</t>
  </si>
  <si>
    <t>TPC-N077-PI</t>
  </si>
  <si>
    <t>TPC-N102-PI</t>
  </si>
  <si>
    <t>Aavid Kunze</t>
  </si>
  <si>
    <t>KU-S30 7-724</t>
  </si>
  <si>
    <t>KU-C30 7-724</t>
  </si>
  <si>
    <t>thermally conductive silicone cap</t>
  </si>
  <si>
    <t>Aluminium</t>
  </si>
  <si>
    <r>
      <t>Ceramic Al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</si>
  <si>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r>
      <t>Ceramic Si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N</t>
    </r>
    <r>
      <rPr>
        <vertAlign val="subscript"/>
        <sz val="11"/>
        <color theme="1"/>
        <rFont val="Calibri"/>
        <family val="2"/>
        <scheme val="minor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</si>
</sst>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&quot; mm&quot;"/>
    <numFmt numFmtId="165" formatCode="0.00&quot; W/(m*K)&quot;"/>
    <numFmt numFmtId="166" formatCode="0.0"/>
    <numFmt numFmtId="167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vertAlign val="subscript"/>
      <sz val="7.7"/>
      <color theme="1"/>
      <name val="Calibri"/>
      <family val="2"/>
    </font>
    <font>
      <strike/>
      <u/>
      <sz val="11"/>
      <color theme="1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NumberFormat="1" applyFont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3" xfId="0" applyNumberFormat="1" applyFont="1" applyBorder="1" applyAlignment="1">
      <alignment wrapText="1"/>
    </xf>
    <xf numFmtId="0" fontId="2" fillId="0" borderId="4" xfId="1" applyNumberFormat="1" applyBorder="1" applyAlignment="1">
      <alignment wrapText="1"/>
    </xf>
    <xf numFmtId="0" fontId="0" fillId="0" borderId="5" xfId="0" applyNumberFormat="1" applyFont="1" applyBorder="1" applyAlignment="1">
      <alignment wrapText="1"/>
    </xf>
    <xf numFmtId="0" fontId="2" fillId="0" borderId="0" xfId="1" applyNumberFormat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5" xfId="0" applyBorder="1" applyAlignment="1">
      <alignment wrapText="1"/>
    </xf>
    <xf numFmtId="0" fontId="2" fillId="0" borderId="0" xfId="1" applyNumberForma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NumberFormat="1" applyFont="1" applyBorder="1" applyAlignment="1">
      <alignment wrapText="1"/>
    </xf>
    <xf numFmtId="0" fontId="0" fillId="0" borderId="7" xfId="0" applyBorder="1" applyAlignment="1">
      <alignment wrapText="1"/>
    </xf>
    <xf numFmtId="164" fontId="0" fillId="0" borderId="7" xfId="0" applyNumberFormat="1" applyFont="1" applyBorder="1" applyAlignment="1">
      <alignment wrapText="1"/>
    </xf>
    <xf numFmtId="165" fontId="0" fillId="0" borderId="4" xfId="0" applyNumberFormat="1" applyFont="1" applyBorder="1" applyAlignment="1">
      <alignment wrapText="1"/>
    </xf>
    <xf numFmtId="165" fontId="0" fillId="0" borderId="0" xfId="0" applyNumberFormat="1" applyFont="1" applyBorder="1" applyAlignment="1">
      <alignment wrapText="1"/>
    </xf>
    <xf numFmtId="165" fontId="0" fillId="0" borderId="0" xfId="0" applyNumberFormat="1" applyBorder="1" applyAlignment="1">
      <alignment wrapText="1"/>
    </xf>
    <xf numFmtId="165" fontId="0" fillId="0" borderId="7" xfId="0" applyNumberFormat="1" applyBorder="1" applyAlignment="1">
      <alignment wrapText="1"/>
    </xf>
    <xf numFmtId="0" fontId="0" fillId="0" borderId="0" xfId="0" applyAlignment="1">
      <alignment horizontal="center" vertical="center" wrapText="1"/>
    </xf>
    <xf numFmtId="164" fontId="0" fillId="0" borderId="4" xfId="0" applyNumberFormat="1" applyFont="1" applyBorder="1" applyAlignment="1">
      <alignment horizontal="center" wrapText="1"/>
    </xf>
    <xf numFmtId="164" fontId="0" fillId="0" borderId="0" xfId="0" applyNumberFormat="1" applyFont="1" applyBorder="1" applyAlignment="1">
      <alignment horizontal="center" wrapText="1"/>
    </xf>
    <xf numFmtId="166" fontId="0" fillId="0" borderId="4" xfId="0" applyNumberFormat="1" applyFont="1" applyBorder="1" applyAlignment="1">
      <alignment wrapText="1"/>
    </xf>
    <xf numFmtId="166" fontId="0" fillId="0" borderId="0" xfId="0" applyNumberFormat="1" applyFont="1" applyBorder="1" applyAlignment="1">
      <alignment wrapText="1"/>
    </xf>
    <xf numFmtId="166" fontId="0" fillId="0" borderId="7" xfId="0" applyNumberFormat="1" applyFont="1" applyBorder="1" applyAlignment="1">
      <alignment wrapText="1"/>
    </xf>
    <xf numFmtId="166" fontId="0" fillId="0" borderId="0" xfId="0" applyNumberFormat="1" applyBorder="1" applyAlignment="1">
      <alignment wrapText="1"/>
    </xf>
    <xf numFmtId="166" fontId="0" fillId="0" borderId="7" xfId="0" applyNumberFormat="1" applyBorder="1" applyAlignment="1">
      <alignment wrapText="1"/>
    </xf>
    <xf numFmtId="167" fontId="0" fillId="0" borderId="4" xfId="0" applyNumberFormat="1" applyFont="1" applyBorder="1" applyAlignment="1">
      <alignment wrapText="1"/>
    </xf>
    <xf numFmtId="167" fontId="0" fillId="0" borderId="0" xfId="0" applyNumberFormat="1" applyFont="1" applyBorder="1" applyAlignment="1">
      <alignment wrapText="1"/>
    </xf>
    <xf numFmtId="167" fontId="0" fillId="0" borderId="7" xfId="0" applyNumberFormat="1" applyFont="1" applyBorder="1" applyAlignment="1">
      <alignment wrapText="1"/>
    </xf>
    <xf numFmtId="166" fontId="0" fillId="0" borderId="0" xfId="0" applyNumberFormat="1" applyFont="1" applyBorder="1" applyAlignment="1">
      <alignment horizontal="center" wrapText="1"/>
    </xf>
    <xf numFmtId="2" fontId="0" fillId="0" borderId="0" xfId="0" applyNumberFormat="1" applyFont="1" applyBorder="1" applyAlignment="1">
      <alignment horizontal="center" wrapText="1"/>
    </xf>
    <xf numFmtId="2" fontId="0" fillId="0" borderId="7" xfId="0" applyNumberFormat="1" applyFont="1" applyBorder="1" applyAlignment="1">
      <alignment wrapText="1"/>
    </xf>
    <xf numFmtId="165" fontId="2" fillId="0" borderId="0" xfId="1" applyNumberFormat="1" applyBorder="1" applyAlignment="1">
      <alignment wrapText="1"/>
    </xf>
    <xf numFmtId="0" fontId="0" fillId="0" borderId="4" xfId="0" applyNumberFormat="1" applyFont="1" applyBorder="1" applyAlignment="1">
      <alignment wrapText="1"/>
    </xf>
    <xf numFmtId="2" fontId="0" fillId="0" borderId="4" xfId="0" applyNumberFormat="1" applyFont="1" applyBorder="1" applyAlignment="1">
      <alignment horizontal="center" wrapText="1"/>
    </xf>
    <xf numFmtId="166" fontId="0" fillId="0" borderId="4" xfId="0" applyNumberFormat="1" applyFont="1" applyBorder="1" applyAlignment="1">
      <alignment horizontal="center" wrapText="1"/>
    </xf>
    <xf numFmtId="166" fontId="0" fillId="0" borderId="4" xfId="0" applyNumberFormat="1" applyBorder="1" applyAlignment="1">
      <alignment wrapText="1"/>
    </xf>
    <xf numFmtId="0" fontId="1" fillId="2" borderId="8" xfId="0" applyFont="1" applyFill="1" applyBorder="1" applyAlignment="1">
      <alignment wrapText="1"/>
    </xf>
    <xf numFmtId="2" fontId="0" fillId="0" borderId="9" xfId="0" applyNumberFormat="1" applyBorder="1"/>
    <xf numFmtId="2" fontId="0" fillId="0" borderId="10" xfId="0" applyNumberFormat="1" applyBorder="1"/>
    <xf numFmtId="2" fontId="0" fillId="0" borderId="11" xfId="0" applyNumberFormat="1" applyBorder="1"/>
    <xf numFmtId="0" fontId="6" fillId="0" borderId="0" xfId="1" applyNumberFormat="1" applyFont="1" applyBorder="1" applyAlignment="1">
      <alignment wrapText="1"/>
    </xf>
  </cellXfs>
  <cellStyles count="2">
    <cellStyle name="Hyper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cker.com/cms/media/publications/downloads/6953_EN.pdf" TargetMode="External"/><Relationship Id="rId13" Type="http://schemas.openxmlformats.org/officeDocument/2006/relationships/hyperlink" Target="https://www.electrolube.com/core/components/products/tds/044/HTCPX.pdf" TargetMode="External"/><Relationship Id="rId18" Type="http://schemas.openxmlformats.org/officeDocument/2006/relationships/hyperlink" Target="https://www.aavid-kunze.com/local/media/hmproducts/ku-alc-3/ku-alf-und-alc_datenblatt.pdf" TargetMode="External"/><Relationship Id="rId26" Type="http://schemas.openxmlformats.org/officeDocument/2006/relationships/hyperlink" Target="https://assets.lairdtech.com/home/brandworld/files/THR-DS-Tflex%2050000.pdf" TargetMode="External"/><Relationship Id="rId3" Type="http://schemas.openxmlformats.org/officeDocument/2006/relationships/hyperlink" Target="https://assets.lairdtech.com/home/brandworld/files/THR-DS-Tgard%20TNC4%200312.pdf" TargetMode="External"/><Relationship Id="rId21" Type="http://schemas.openxmlformats.org/officeDocument/2006/relationships/hyperlink" Target="http://www.kerafol.com/fileadmin/user_upload/Thermalmanagement/downloads/2017/datenblaetter/03-softtherm/Datenblaetter_TM_86_600.pdf" TargetMode="External"/><Relationship Id="rId34" Type="http://schemas.openxmlformats.org/officeDocument/2006/relationships/hyperlink" Target="file:///\\zeus\Predevelopment\40_Technology_Screening\Companies\Hala-Tech\E_HALA_TPC-N-PI.pdf" TargetMode="External"/><Relationship Id="rId7" Type="http://schemas.openxmlformats.org/officeDocument/2006/relationships/hyperlink" Target="http://www.hala-tec.de/fileadmin/user_upload/datenblaetter-en/E_HALA_TPC-S-KA.pdf" TargetMode="External"/><Relationship Id="rId12" Type="http://schemas.openxmlformats.org/officeDocument/2006/relationships/hyperlink" Target="https://www.electrolube.com/core/components/products/tds/044/HTCPX-LV.pdf" TargetMode="External"/><Relationship Id="rId17" Type="http://schemas.openxmlformats.org/officeDocument/2006/relationships/hyperlink" Target="http://docs-europe.electrocomponents.com/webdocs/1416/0900766b814168ce.pdf" TargetMode="External"/><Relationship Id="rId25" Type="http://schemas.openxmlformats.org/officeDocument/2006/relationships/hyperlink" Target="file:///\\zeus\Projects\DMC7\GMC718M\51_Datasheets\W&#228;rmeleitpad\GapFiller%20TGF-JXSx000-SI-A1_Offerte%20201272.pdf" TargetMode="External"/><Relationship Id="rId33" Type="http://schemas.openxmlformats.org/officeDocument/2006/relationships/hyperlink" Target="file:///\\zeus\Predevelopment\40_Technology_Screening\Companies\Hala-Tech\E_HALA_TPC-N-PI.pdf" TargetMode="External"/><Relationship Id="rId2" Type="http://schemas.openxmlformats.org/officeDocument/2006/relationships/hyperlink" Target="https://assets.lairdtech.com/home/brandworld/files/THS-DS-TGARD5000_032515.pdf" TargetMode="External"/><Relationship Id="rId16" Type="http://schemas.openxmlformats.org/officeDocument/2006/relationships/hyperlink" Target="http://www.kerafol.com/fileadmin/user_upload/Thermalmanagement/downloads/2016/02-Standardfolien-silikonfrei/Kerafol_TM_Datenblatt_U85_FINAL.pdf" TargetMode="External"/><Relationship Id="rId20" Type="http://schemas.openxmlformats.org/officeDocument/2006/relationships/hyperlink" Target="http://www.hala-tec.de/fileadmin/user_upload/datenblaetter-en/E_HALA_TPC-S-KA.pdf" TargetMode="External"/><Relationship Id="rId29" Type="http://schemas.openxmlformats.org/officeDocument/2006/relationships/hyperlink" Target="file:///\\zeus\Predevelopment\40_Technology_Screening\Companies\Hala-Tech\E_HALA_TPC-P-KA.pdf" TargetMode="External"/><Relationship Id="rId1" Type="http://schemas.openxmlformats.org/officeDocument/2006/relationships/hyperlink" Target="https://assets.lairdtech.com/home/brandworld/files/THR-DS-TGARD%20TNC-5%20122716.pdf" TargetMode="External"/><Relationship Id="rId6" Type="http://schemas.openxmlformats.org/officeDocument/2006/relationships/hyperlink" Target="http://www.hala-tec.de/fileadmin/user_upload/datenblaetter/D_HALA_TFO-X-SI.pdf" TargetMode="External"/><Relationship Id="rId11" Type="http://schemas.openxmlformats.org/officeDocument/2006/relationships/hyperlink" Target="https://www.electrolube.com/core/components/products/tds/044/HTCP.pdf" TargetMode="External"/><Relationship Id="rId24" Type="http://schemas.openxmlformats.org/officeDocument/2006/relationships/hyperlink" Target="file:///\\zeus\Projects\DMC7\GMC718M\51_Datasheets\W&#228;rmeleitpad\GapFiller%20TGF-JXSx000-SI-A1_Offerte%20201272.pdf" TargetMode="External"/><Relationship Id="rId32" Type="http://schemas.openxmlformats.org/officeDocument/2006/relationships/hyperlink" Target="file:///\\zeus\Predevelopment\40_Technology_Screening\Companies\Hala-Tech\E_HALA_TPC-N-PI.pdf" TargetMode="External"/><Relationship Id="rId37" Type="http://schemas.openxmlformats.org/officeDocument/2006/relationships/printerSettings" Target="../printerSettings/printerSettings1.bin"/><Relationship Id="rId5" Type="http://schemas.openxmlformats.org/officeDocument/2006/relationships/hyperlink" Target="http://www.hala-tec.de/fileadmin/user_upload/datenblaetter/D_HALA_TFO-X-SI.pdf" TargetMode="External"/><Relationship Id="rId15" Type="http://schemas.openxmlformats.org/officeDocument/2006/relationships/hyperlink" Target="https://www.rogerscorp.com/documents/3061/curamik/Design-Rules---DBC-Technology.pdf" TargetMode="External"/><Relationship Id="rId23" Type="http://schemas.openxmlformats.org/officeDocument/2006/relationships/hyperlink" Target="file:///\\zeus\Projects\DMC7\GMC718M\51_Datasheets\W&#228;rmeleitpad\GapFiller%20TGF-JXSx000-SI-A1.pdf" TargetMode="External"/><Relationship Id="rId28" Type="http://schemas.openxmlformats.org/officeDocument/2006/relationships/hyperlink" Target="http://www.kerafol.com/fileadmin/user_upload/Thermalmanagement/downloads/2017/datenblaetter/01-standardfolien/Datenblaetter_TM_86_60.pdf" TargetMode="External"/><Relationship Id="rId36" Type="http://schemas.openxmlformats.org/officeDocument/2006/relationships/hyperlink" Target="https://www.aavid-kunze.com/local/media/hmproducts/serie-c-31/ku-c-kappen_datenblatt.pdf" TargetMode="External"/><Relationship Id="rId10" Type="http://schemas.openxmlformats.org/officeDocument/2006/relationships/hyperlink" Target="https://www.electrolube.com/core/components/products/tds/044/HTCX.pdf" TargetMode="External"/><Relationship Id="rId19" Type="http://schemas.openxmlformats.org/officeDocument/2006/relationships/hyperlink" Target="https://www.aavid-kunze.com/local/media/hmproducts/ku-alc-3/ku-alf-und-alc_datenblatt.pdf" TargetMode="External"/><Relationship Id="rId31" Type="http://schemas.openxmlformats.org/officeDocument/2006/relationships/hyperlink" Target="file:///\\zeus\Predevelopment\40_Technology_Screening\Companies\Hala-Tech\E_HALA_TPC-P-KA.pdf" TargetMode="External"/><Relationship Id="rId4" Type="http://schemas.openxmlformats.org/officeDocument/2006/relationships/hyperlink" Target="http://www.kerafol.com/fileadmin/user_upload/Thermalmanagement/produkte/U_80/Datenblatt_U_80_EN.pdf" TargetMode="External"/><Relationship Id="rId9" Type="http://schemas.openxmlformats.org/officeDocument/2006/relationships/hyperlink" Target="https://www.electrolube.com/core/components/products/tds/044/HTC.pdf" TargetMode="External"/><Relationship Id="rId14" Type="http://schemas.openxmlformats.org/officeDocument/2006/relationships/hyperlink" Target="https://www.rogerscorp.com/documents/3061/curamik/Design-Rules---DBC-Technology.pdf" TargetMode="External"/><Relationship Id="rId22" Type="http://schemas.openxmlformats.org/officeDocument/2006/relationships/hyperlink" Target="file:///\\zeus\Projects\DMC7\GMC718M\51_Datasheets\W&#228;rmeleitpad\GapFiller%20TGF-JXSx000-SI-A1.pdf" TargetMode="External"/><Relationship Id="rId27" Type="http://schemas.openxmlformats.org/officeDocument/2006/relationships/hyperlink" Target="http://docs-europe.electrocomponents.com/webdocs/1416/0900766b814168ce.pdf" TargetMode="External"/><Relationship Id="rId30" Type="http://schemas.openxmlformats.org/officeDocument/2006/relationships/hyperlink" Target="file:///\\zeus\Predevelopment\40_Technology_Screening\Companies\Hala-Tech\E_HALA_TPC-P-KA.pdf" TargetMode="External"/><Relationship Id="rId35" Type="http://schemas.openxmlformats.org/officeDocument/2006/relationships/hyperlink" Target="https://www.aavid-kunze.com/local/media/hmproducts/serie-s-32/ku-s-kappen_datenblat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5"/>
  <sheetViews>
    <sheetView tabSelected="1" topLeftCell="A13" zoomScale="70" zoomScaleNormal="70" workbookViewId="0">
      <selection activeCell="C41" sqref="C41"/>
    </sheetView>
  </sheetViews>
  <sheetFormatPr baseColWidth="10" defaultColWidth="11.42578125" defaultRowHeight="15" x14ac:dyDescent="0.25"/>
  <cols>
    <col min="1" max="1" width="11.42578125" style="2"/>
    <col min="2" max="2" width="20.85546875" style="2" customWidth="1"/>
    <col min="3" max="3" width="19" style="2" customWidth="1"/>
    <col min="4" max="4" width="37.5703125" style="2" customWidth="1"/>
    <col min="5" max="5" width="9.7109375" style="2" bestFit="1" customWidth="1"/>
    <col min="6" max="6" width="16.140625" style="2" customWidth="1"/>
    <col min="7" max="7" width="10" style="2" bestFit="1" customWidth="1"/>
    <col min="8" max="8" width="10.5703125" style="2" bestFit="1" customWidth="1"/>
    <col min="9" max="9" width="15.5703125" style="2" customWidth="1"/>
    <col min="10" max="10" width="24.5703125" style="2" bestFit="1" customWidth="1"/>
    <col min="11" max="11" width="19.7109375" style="2" bestFit="1" customWidth="1"/>
    <col min="12" max="12" width="18" style="2" bestFit="1" customWidth="1"/>
    <col min="13" max="13" width="12.7109375" style="2" bestFit="1" customWidth="1"/>
    <col min="14" max="14" width="15.42578125" style="2" customWidth="1"/>
    <col min="15" max="15" width="10.42578125" style="2" bestFit="1" customWidth="1"/>
    <col min="16" max="16" width="22.28515625" style="2" customWidth="1"/>
    <col min="17" max="20" width="11.42578125" style="2"/>
    <col min="21" max="21" width="14.5703125" style="2" bestFit="1" customWidth="1"/>
    <col min="22" max="16384" width="11.42578125" style="2"/>
  </cols>
  <sheetData>
    <row r="2" spans="1:21" ht="18.600000000000001" customHeight="1" x14ac:dyDescent="0.25"/>
    <row r="3" spans="1:21" ht="18.600000000000001" customHeight="1" thickBot="1" x14ac:dyDescent="0.3"/>
    <row r="4" spans="1:21" ht="30.6" customHeight="1" thickBot="1" x14ac:dyDescent="0.3">
      <c r="B4" s="3" t="s">
        <v>7</v>
      </c>
      <c r="C4" s="4" t="s">
        <v>17</v>
      </c>
      <c r="D4" s="4" t="s">
        <v>18</v>
      </c>
      <c r="E4" s="4" t="s">
        <v>52</v>
      </c>
      <c r="F4" s="4" t="s">
        <v>68</v>
      </c>
      <c r="G4" s="4" t="s">
        <v>50</v>
      </c>
      <c r="H4" s="4" t="s">
        <v>51</v>
      </c>
      <c r="I4" s="4" t="s">
        <v>49</v>
      </c>
      <c r="J4" s="4" t="s">
        <v>67</v>
      </c>
      <c r="K4" s="4" t="s">
        <v>62</v>
      </c>
      <c r="L4" s="4" t="s">
        <v>64</v>
      </c>
      <c r="M4" s="4" t="s">
        <v>63</v>
      </c>
      <c r="N4" s="4" t="s">
        <v>71</v>
      </c>
      <c r="O4" s="4" t="s">
        <v>36</v>
      </c>
      <c r="P4" s="40" t="s">
        <v>58</v>
      </c>
    </row>
    <row r="5" spans="1:21" ht="30" customHeight="1" thickBot="1" x14ac:dyDescent="0.3">
      <c r="B5" s="3"/>
      <c r="C5" s="4"/>
      <c r="D5" s="4"/>
      <c r="E5" s="4" t="s">
        <v>53</v>
      </c>
      <c r="F5" s="4" t="s">
        <v>54</v>
      </c>
      <c r="G5" s="4"/>
      <c r="H5" s="4"/>
      <c r="I5" s="4" t="s">
        <v>55</v>
      </c>
      <c r="J5" s="4" t="s">
        <v>56</v>
      </c>
      <c r="K5" s="4" t="s">
        <v>56</v>
      </c>
      <c r="L5" s="4" t="s">
        <v>56</v>
      </c>
      <c r="M5" s="4" t="s">
        <v>57</v>
      </c>
      <c r="N5" s="4"/>
      <c r="O5" s="4"/>
      <c r="P5" s="40" t="s">
        <v>59</v>
      </c>
      <c r="U5" s="12"/>
    </row>
    <row r="6" spans="1:21" ht="30" x14ac:dyDescent="0.25">
      <c r="A6" s="2" t="s">
        <v>46</v>
      </c>
      <c r="B6" s="5" t="s">
        <v>5</v>
      </c>
      <c r="C6" s="6" t="s">
        <v>0</v>
      </c>
      <c r="D6" s="36" t="s">
        <v>30</v>
      </c>
      <c r="E6" s="24">
        <v>6</v>
      </c>
      <c r="F6" s="29">
        <v>0.125</v>
      </c>
      <c r="G6" s="22" t="s">
        <v>60</v>
      </c>
      <c r="H6" s="22" t="s">
        <v>60</v>
      </c>
      <c r="I6" s="37"/>
      <c r="J6" s="38" t="str">
        <f>IF(I6&lt;&gt;"",F6*1000/I6,"")</f>
        <v/>
      </c>
      <c r="K6" s="39">
        <v>193.55</v>
      </c>
      <c r="L6" s="39"/>
      <c r="M6" s="24"/>
      <c r="N6" s="24"/>
      <c r="O6" s="17"/>
      <c r="P6" s="41">
        <f>IF(AND(E6&gt;0,K6&lt;&gt;""), K6/E6,"")</f>
        <v>32.258333333333333</v>
      </c>
      <c r="S6" s="21"/>
      <c r="T6" s="21"/>
      <c r="U6" s="18"/>
    </row>
    <row r="7" spans="1:21" ht="30" x14ac:dyDescent="0.25">
      <c r="A7" s="2" t="s">
        <v>46</v>
      </c>
      <c r="B7" s="7" t="s">
        <v>5</v>
      </c>
      <c r="C7" s="8" t="s">
        <v>19</v>
      </c>
      <c r="D7" s="1" t="s">
        <v>30</v>
      </c>
      <c r="E7" s="25">
        <v>6</v>
      </c>
      <c r="F7" s="30">
        <v>0.127</v>
      </c>
      <c r="G7" s="23" t="s">
        <v>60</v>
      </c>
      <c r="H7" s="23" t="s">
        <v>60</v>
      </c>
      <c r="I7" s="33"/>
      <c r="J7" s="32" t="str">
        <f>IF(I7&lt;&gt;"",F7*1000/I7,"")</f>
        <v/>
      </c>
      <c r="K7" s="27">
        <v>193.55</v>
      </c>
      <c r="L7" s="27"/>
      <c r="M7" s="25"/>
      <c r="N7" s="25"/>
      <c r="O7" s="18"/>
      <c r="P7" s="42">
        <f t="shared" ref="P7:P45" si="0">IF(AND(E7&gt;0,K7&lt;&gt;""), K7/E7,"")</f>
        <v>32.258333333333333</v>
      </c>
      <c r="S7" s="21"/>
      <c r="T7" s="21"/>
      <c r="U7" s="18"/>
    </row>
    <row r="8" spans="1:21" ht="30" x14ac:dyDescent="0.25">
      <c r="A8" s="2" t="s">
        <v>46</v>
      </c>
      <c r="B8" s="7" t="s">
        <v>5</v>
      </c>
      <c r="C8" s="8" t="s">
        <v>1</v>
      </c>
      <c r="D8" s="9" t="s">
        <v>48</v>
      </c>
      <c r="E8" s="25">
        <v>6</v>
      </c>
      <c r="F8" s="30">
        <v>0.127</v>
      </c>
      <c r="G8" s="23" t="s">
        <v>60</v>
      </c>
      <c r="H8" s="23" t="s">
        <v>61</v>
      </c>
      <c r="I8" s="33"/>
      <c r="J8" s="32" t="str">
        <f t="shared" ref="J8:J42" si="1">IF(I8&lt;&gt;"",F8*1000/I8,"")</f>
        <v/>
      </c>
      <c r="K8" s="27">
        <v>258</v>
      </c>
      <c r="L8" s="25">
        <v>148</v>
      </c>
      <c r="M8" s="25">
        <v>276</v>
      </c>
      <c r="N8" s="25"/>
      <c r="O8" s="18"/>
      <c r="P8" s="42">
        <f t="shared" si="0"/>
        <v>43</v>
      </c>
      <c r="S8" s="21"/>
      <c r="T8" s="21"/>
      <c r="U8" s="18"/>
    </row>
    <row r="9" spans="1:21" ht="30" x14ac:dyDescent="0.25">
      <c r="B9" s="7" t="s">
        <v>6</v>
      </c>
      <c r="C9" s="8" t="s">
        <v>2</v>
      </c>
      <c r="D9" s="9" t="s">
        <v>47</v>
      </c>
      <c r="E9" s="25">
        <v>4</v>
      </c>
      <c r="F9" s="30">
        <v>0.2</v>
      </c>
      <c r="G9" s="23" t="s">
        <v>60</v>
      </c>
      <c r="H9" s="23" t="s">
        <v>61</v>
      </c>
      <c r="I9" s="33">
        <v>6</v>
      </c>
      <c r="J9" s="32">
        <f t="shared" si="1"/>
        <v>33.333333333333336</v>
      </c>
      <c r="K9" s="27">
        <v>45.2</v>
      </c>
      <c r="L9" s="25">
        <v>32.9</v>
      </c>
      <c r="M9" s="25">
        <v>60</v>
      </c>
      <c r="N9" s="25">
        <v>3.1</v>
      </c>
      <c r="O9" s="18"/>
      <c r="P9" s="42">
        <f t="shared" si="0"/>
        <v>11.3</v>
      </c>
      <c r="S9" s="21"/>
      <c r="T9" s="21"/>
      <c r="U9" s="18"/>
    </row>
    <row r="10" spans="1:21" ht="30" x14ac:dyDescent="0.25">
      <c r="B10" s="7" t="s">
        <v>6</v>
      </c>
      <c r="C10" s="8" t="s">
        <v>25</v>
      </c>
      <c r="D10" s="9" t="s">
        <v>31</v>
      </c>
      <c r="E10" s="25">
        <v>6</v>
      </c>
      <c r="F10" s="30">
        <v>0.2</v>
      </c>
      <c r="G10" s="23" t="s">
        <v>60</v>
      </c>
      <c r="H10" s="23" t="s">
        <v>61</v>
      </c>
      <c r="I10" s="33">
        <v>3</v>
      </c>
      <c r="J10" s="32"/>
      <c r="K10" s="27">
        <v>60.2</v>
      </c>
      <c r="L10" s="27">
        <f>0.09*0.0254^2*1000000</f>
        <v>58.064399999999999</v>
      </c>
      <c r="M10" s="25">
        <v>60</v>
      </c>
      <c r="N10" s="25">
        <v>1.96</v>
      </c>
      <c r="O10" s="18"/>
      <c r="P10" s="42">
        <f t="shared" si="0"/>
        <v>10.033333333333333</v>
      </c>
      <c r="S10" s="21"/>
      <c r="T10" s="21"/>
      <c r="U10" s="18"/>
    </row>
    <row r="11" spans="1:21" x14ac:dyDescent="0.25">
      <c r="B11" s="7" t="s">
        <v>6</v>
      </c>
      <c r="C11" s="8" t="s">
        <v>72</v>
      </c>
      <c r="D11" s="9" t="s">
        <v>73</v>
      </c>
      <c r="E11" s="25">
        <v>5</v>
      </c>
      <c r="F11" s="30">
        <v>0.25</v>
      </c>
      <c r="G11" s="23" t="s">
        <v>60</v>
      </c>
      <c r="H11" s="23" t="s">
        <v>61</v>
      </c>
      <c r="I11" s="33">
        <v>4.5</v>
      </c>
      <c r="J11" s="32"/>
      <c r="K11" s="27">
        <v>56</v>
      </c>
      <c r="L11" s="27"/>
      <c r="M11" s="25">
        <v>60</v>
      </c>
      <c r="N11" s="25">
        <v>1.47</v>
      </c>
      <c r="O11" s="18"/>
      <c r="P11" s="42">
        <f t="shared" si="0"/>
        <v>11.2</v>
      </c>
      <c r="S11" s="21"/>
      <c r="T11" s="21"/>
      <c r="U11" s="18"/>
    </row>
    <row r="12" spans="1:21" ht="30" x14ac:dyDescent="0.25">
      <c r="B12" s="7" t="s">
        <v>3</v>
      </c>
      <c r="C12" s="8" t="s">
        <v>24</v>
      </c>
      <c r="D12" s="9" t="s">
        <v>29</v>
      </c>
      <c r="E12" s="25">
        <v>3</v>
      </c>
      <c r="F12" s="30">
        <v>0.2</v>
      </c>
      <c r="G12" s="23" t="s">
        <v>60</v>
      </c>
      <c r="H12" s="23" t="s">
        <v>61</v>
      </c>
      <c r="I12" s="33">
        <v>5</v>
      </c>
      <c r="J12" s="32">
        <f t="shared" si="1"/>
        <v>40</v>
      </c>
      <c r="K12" s="27">
        <f>0.21*0.0254^2*1000000</f>
        <v>135.48359999999997</v>
      </c>
      <c r="L12" s="25">
        <f>0.12*0.0254^2*1000000</f>
        <v>77.419200000000004</v>
      </c>
      <c r="M12" s="25">
        <v>100</v>
      </c>
      <c r="N12" s="25"/>
      <c r="O12" s="18"/>
      <c r="P12" s="42">
        <f t="shared" si="0"/>
        <v>45.161199999999987</v>
      </c>
      <c r="S12" s="21"/>
      <c r="T12" s="21"/>
      <c r="U12" s="18"/>
    </row>
    <row r="13" spans="1:21" ht="30" x14ac:dyDescent="0.25">
      <c r="B13" s="7" t="s">
        <v>3</v>
      </c>
      <c r="C13" s="8" t="s">
        <v>23</v>
      </c>
      <c r="D13" s="9" t="s">
        <v>29</v>
      </c>
      <c r="E13" s="25">
        <v>6</v>
      </c>
      <c r="F13" s="30">
        <v>0.3</v>
      </c>
      <c r="G13" s="23" t="s">
        <v>60</v>
      </c>
      <c r="H13" s="23" t="s">
        <v>61</v>
      </c>
      <c r="I13" s="33">
        <v>5</v>
      </c>
      <c r="J13" s="32">
        <f t="shared" si="1"/>
        <v>60</v>
      </c>
      <c r="K13" s="27">
        <f>0.24*0.0254^2*1000000</f>
        <v>154.83840000000001</v>
      </c>
      <c r="L13" s="25">
        <f>0.16*0.0254^2*1000000</f>
        <v>103.2256</v>
      </c>
      <c r="M13" s="25">
        <v>100</v>
      </c>
      <c r="N13" s="25"/>
      <c r="O13" s="18"/>
      <c r="P13" s="42">
        <f t="shared" si="0"/>
        <v>25.8064</v>
      </c>
      <c r="S13" s="21"/>
      <c r="T13" s="21"/>
      <c r="U13" s="18"/>
    </row>
    <row r="14" spans="1:21" ht="30" x14ac:dyDescent="0.25">
      <c r="B14" s="7" t="s">
        <v>3</v>
      </c>
      <c r="C14" s="8" t="s">
        <v>74</v>
      </c>
      <c r="D14" s="9" t="s">
        <v>32</v>
      </c>
      <c r="E14" s="25">
        <v>5.5</v>
      </c>
      <c r="F14" s="30">
        <v>5.0999999999999997E-2</v>
      </c>
      <c r="G14" s="23" t="s">
        <v>60</v>
      </c>
      <c r="H14" s="23" t="s">
        <v>61</v>
      </c>
      <c r="I14" s="33"/>
      <c r="J14" s="32"/>
      <c r="K14" s="27">
        <f>0.113*0.0254^2*1000000</f>
        <v>72.903079999999989</v>
      </c>
      <c r="L14" s="27"/>
      <c r="M14" s="25">
        <v>100</v>
      </c>
      <c r="N14" s="25">
        <v>4.2</v>
      </c>
      <c r="O14" s="18"/>
      <c r="P14" s="42">
        <f t="shared" si="0"/>
        <v>13.255105454545452</v>
      </c>
      <c r="S14" s="21"/>
      <c r="T14" s="21"/>
      <c r="U14" s="18"/>
    </row>
    <row r="15" spans="1:21" ht="30" x14ac:dyDescent="0.25">
      <c r="B15" s="7" t="s">
        <v>3</v>
      </c>
      <c r="C15" s="8" t="s">
        <v>75</v>
      </c>
      <c r="D15" s="9" t="s">
        <v>32</v>
      </c>
      <c r="E15" s="25">
        <v>9.1999999999999993</v>
      </c>
      <c r="F15" s="30">
        <v>7.6999999999999999E-2</v>
      </c>
      <c r="G15" s="23" t="s">
        <v>60</v>
      </c>
      <c r="H15" s="23" t="s">
        <v>61</v>
      </c>
      <c r="I15" s="33"/>
      <c r="J15" s="32"/>
      <c r="K15" s="27">
        <f>0.2*0.0254^2*1000000</f>
        <v>129.03200000000001</v>
      </c>
      <c r="L15" s="27"/>
      <c r="M15" s="25">
        <v>100</v>
      </c>
      <c r="N15" s="25">
        <v>4.2</v>
      </c>
      <c r="O15" s="18"/>
      <c r="P15" s="42">
        <f t="shared" si="0"/>
        <v>14.02521739130435</v>
      </c>
      <c r="S15" s="21"/>
      <c r="T15" s="21"/>
      <c r="U15" s="18"/>
    </row>
    <row r="16" spans="1:21" ht="30" x14ac:dyDescent="0.25">
      <c r="B16" s="7" t="s">
        <v>3</v>
      </c>
      <c r="C16" s="8" t="s">
        <v>76</v>
      </c>
      <c r="D16" s="9" t="s">
        <v>32</v>
      </c>
      <c r="E16" s="25">
        <v>12.3</v>
      </c>
      <c r="F16" s="30">
        <v>0.10199999999999999</v>
      </c>
      <c r="G16" s="23" t="s">
        <v>60</v>
      </c>
      <c r="H16" s="23" t="s">
        <v>61</v>
      </c>
      <c r="I16" s="33"/>
      <c r="J16" s="32"/>
      <c r="K16" s="27">
        <f>0.29*0.0254^2*1000000</f>
        <v>187.09639999999999</v>
      </c>
      <c r="L16" s="27"/>
      <c r="M16" s="25">
        <v>100</v>
      </c>
      <c r="N16" s="25">
        <v>4.2</v>
      </c>
      <c r="O16" s="18"/>
      <c r="P16" s="42">
        <f t="shared" si="0"/>
        <v>15.211089430894306</v>
      </c>
      <c r="S16" s="21"/>
      <c r="T16" s="21"/>
      <c r="U16" s="18"/>
    </row>
    <row r="17" spans="2:21" ht="30" x14ac:dyDescent="0.25">
      <c r="B17" s="7" t="s">
        <v>3</v>
      </c>
      <c r="C17" s="8" t="s">
        <v>77</v>
      </c>
      <c r="D17" s="9" t="s">
        <v>32</v>
      </c>
      <c r="E17" s="25">
        <v>5.4</v>
      </c>
      <c r="F17" s="30">
        <v>5.0999999999999997E-2</v>
      </c>
      <c r="G17" s="23" t="s">
        <v>60</v>
      </c>
      <c r="H17" s="23" t="s">
        <v>61</v>
      </c>
      <c r="I17" s="33"/>
      <c r="J17" s="32"/>
      <c r="K17" s="27">
        <f>0.13*0.0254^2*1000000</f>
        <v>83.870800000000003</v>
      </c>
      <c r="L17" s="27"/>
      <c r="M17" s="25">
        <v>100</v>
      </c>
      <c r="N17" s="25">
        <v>4</v>
      </c>
      <c r="O17" s="18"/>
      <c r="P17" s="42">
        <f t="shared" si="0"/>
        <v>15.531629629629629</v>
      </c>
      <c r="S17" s="21"/>
      <c r="T17" s="21"/>
      <c r="U17" s="18"/>
    </row>
    <row r="18" spans="2:21" ht="30" x14ac:dyDescent="0.25">
      <c r="B18" s="7" t="s">
        <v>3</v>
      </c>
      <c r="C18" s="8" t="s">
        <v>78</v>
      </c>
      <c r="D18" s="9" t="s">
        <v>32</v>
      </c>
      <c r="E18" s="25">
        <v>9</v>
      </c>
      <c r="F18" s="30">
        <v>7.6999999999999999E-2</v>
      </c>
      <c r="G18" s="23" t="s">
        <v>60</v>
      </c>
      <c r="H18" s="23" t="s">
        <v>61</v>
      </c>
      <c r="I18" s="33"/>
      <c r="J18" s="32"/>
      <c r="K18" s="27">
        <f>0.22*0.0254^2*1000000</f>
        <v>141.93520000000001</v>
      </c>
      <c r="L18" s="27"/>
      <c r="M18" s="25">
        <v>100</v>
      </c>
      <c r="N18" s="25">
        <v>4</v>
      </c>
      <c r="O18" s="18"/>
      <c r="P18" s="42">
        <f t="shared" si="0"/>
        <v>15.770577777777779</v>
      </c>
      <c r="S18" s="21"/>
      <c r="T18" s="21"/>
      <c r="U18" s="18"/>
    </row>
    <row r="19" spans="2:21" ht="30" x14ac:dyDescent="0.25">
      <c r="B19" s="7" t="s">
        <v>3</v>
      </c>
      <c r="C19" s="8" t="s">
        <v>79</v>
      </c>
      <c r="D19" s="9" t="s">
        <v>32</v>
      </c>
      <c r="E19" s="25">
        <v>13.5</v>
      </c>
      <c r="F19" s="30">
        <v>0.10199999999999999</v>
      </c>
      <c r="G19" s="23" t="s">
        <v>60</v>
      </c>
      <c r="H19" s="23" t="s">
        <v>61</v>
      </c>
      <c r="I19" s="33"/>
      <c r="J19" s="32"/>
      <c r="K19" s="27">
        <f>0.315*0.0254^2*1000000</f>
        <v>203.22540000000001</v>
      </c>
      <c r="L19" s="27"/>
      <c r="M19" s="25">
        <v>100</v>
      </c>
      <c r="N19" s="25">
        <v>4</v>
      </c>
      <c r="O19" s="18"/>
      <c r="P19" s="42">
        <f t="shared" si="0"/>
        <v>15.053733333333334</v>
      </c>
      <c r="S19" s="21"/>
      <c r="T19" s="21"/>
      <c r="U19" s="18"/>
    </row>
    <row r="20" spans="2:21" ht="30" x14ac:dyDescent="0.25">
      <c r="B20" s="7" t="s">
        <v>3</v>
      </c>
      <c r="C20" s="44" t="s">
        <v>4</v>
      </c>
      <c r="D20" s="9" t="s">
        <v>32</v>
      </c>
      <c r="E20" s="25">
        <v>4.2</v>
      </c>
      <c r="F20" s="30">
        <v>0.05</v>
      </c>
      <c r="G20" s="23" t="s">
        <v>60</v>
      </c>
      <c r="H20" s="23" t="s">
        <v>61</v>
      </c>
      <c r="I20" s="33"/>
      <c r="J20" s="32" t="str">
        <f t="shared" si="1"/>
        <v/>
      </c>
      <c r="K20" s="27">
        <f>0.13*0.0254^2*1000000</f>
        <v>83.870800000000003</v>
      </c>
      <c r="L20" s="25">
        <f>0.125*0.0254^2*1000000</f>
        <v>80.644999999999996</v>
      </c>
      <c r="M20" s="25">
        <v>100</v>
      </c>
      <c r="N20" s="25">
        <v>1.8</v>
      </c>
      <c r="O20" s="18"/>
      <c r="P20" s="42">
        <f t="shared" si="0"/>
        <v>19.969238095238094</v>
      </c>
      <c r="S20" s="21"/>
      <c r="T20" s="21"/>
      <c r="U20" s="18"/>
    </row>
    <row r="21" spans="2:21" ht="30" x14ac:dyDescent="0.25">
      <c r="B21" s="7" t="s">
        <v>3</v>
      </c>
      <c r="C21" s="44" t="s">
        <v>28</v>
      </c>
      <c r="D21" s="9" t="s">
        <v>32</v>
      </c>
      <c r="E21" s="25">
        <v>7.8</v>
      </c>
      <c r="F21" s="30">
        <v>7.4999999999999997E-2</v>
      </c>
      <c r="G21" s="23" t="s">
        <v>60</v>
      </c>
      <c r="H21" s="23" t="s">
        <v>61</v>
      </c>
      <c r="I21" s="33"/>
      <c r="J21" s="32" t="str">
        <f t="shared" si="1"/>
        <v/>
      </c>
      <c r="K21" s="27">
        <f>0.225*0.0254^2*1000000</f>
        <v>145.161</v>
      </c>
      <c r="L21" s="27">
        <f>0.225*0.0254^2*1000000</f>
        <v>145.161</v>
      </c>
      <c r="M21" s="25">
        <v>100</v>
      </c>
      <c r="N21" s="25">
        <v>1.8</v>
      </c>
      <c r="O21" s="18"/>
      <c r="P21" s="42">
        <f t="shared" si="0"/>
        <v>18.610384615384618</v>
      </c>
      <c r="S21" s="21"/>
      <c r="T21" s="21"/>
      <c r="U21" s="18"/>
    </row>
    <row r="22" spans="2:21" ht="30" x14ac:dyDescent="0.25">
      <c r="B22" s="7" t="s">
        <v>26</v>
      </c>
      <c r="C22" s="8" t="s">
        <v>69</v>
      </c>
      <c r="D22" s="9" t="s">
        <v>32</v>
      </c>
      <c r="E22" s="25">
        <v>5</v>
      </c>
      <c r="F22" s="30">
        <v>0.10199999999999999</v>
      </c>
      <c r="G22" s="23" t="s">
        <v>60</v>
      </c>
      <c r="H22" s="23" t="s">
        <v>61</v>
      </c>
      <c r="I22" s="33"/>
      <c r="J22" s="32" t="str">
        <f t="shared" ref="J22" si="2">IF(I22&lt;&gt;"",F22*1000/I22,"")</f>
        <v/>
      </c>
      <c r="K22" s="27">
        <f>0.12*0.0254^2*1000000</f>
        <v>77.419200000000004</v>
      </c>
      <c r="L22" s="27">
        <f>0.12*0.0254^2*1000000</f>
        <v>77.419200000000004</v>
      </c>
      <c r="M22" s="25">
        <f>200/1.45</f>
        <v>137.93103448275863</v>
      </c>
      <c r="N22" s="25">
        <v>4.5</v>
      </c>
      <c r="O22" s="18"/>
      <c r="P22" s="42">
        <f t="shared" ref="P22" si="3">IF(AND(E22&gt;0,K22&lt;&gt;""), K22/E22,"")</f>
        <v>15.483840000000001</v>
      </c>
      <c r="S22" s="21"/>
      <c r="T22" s="21"/>
      <c r="U22" s="18"/>
    </row>
    <row r="23" spans="2:21" ht="30" x14ac:dyDescent="0.25">
      <c r="B23" s="7" t="s">
        <v>26</v>
      </c>
      <c r="C23" s="8" t="s">
        <v>70</v>
      </c>
      <c r="D23" s="9" t="s">
        <v>32</v>
      </c>
      <c r="E23" s="25">
        <v>5</v>
      </c>
      <c r="F23" s="30">
        <v>0.127</v>
      </c>
      <c r="G23" s="23" t="s">
        <v>60</v>
      </c>
      <c r="H23" s="23" t="s">
        <v>61</v>
      </c>
      <c r="I23" s="33"/>
      <c r="J23" s="32" t="str">
        <f t="shared" si="1"/>
        <v/>
      </c>
      <c r="K23" s="27">
        <f>0.19*0.0254^2*1000000</f>
        <v>122.58040000000001</v>
      </c>
      <c r="L23" s="27">
        <f>0.18*0.0254^2*1000000</f>
        <v>116.1288</v>
      </c>
      <c r="M23" s="25">
        <f>200/1.45</f>
        <v>137.93103448275863</v>
      </c>
      <c r="N23" s="25"/>
      <c r="O23" s="18"/>
      <c r="P23" s="42">
        <f t="shared" si="0"/>
        <v>24.516080000000002</v>
      </c>
      <c r="S23" s="21"/>
      <c r="T23" s="21"/>
      <c r="U23" s="18"/>
    </row>
    <row r="24" spans="2:21" x14ac:dyDescent="0.25">
      <c r="B24" s="10" t="s">
        <v>80</v>
      </c>
      <c r="C24" s="11" t="s">
        <v>27</v>
      </c>
      <c r="D24" s="9" t="s">
        <v>33</v>
      </c>
      <c r="E24" s="25">
        <v>0</v>
      </c>
      <c r="F24" s="30">
        <v>7.5999999999999998E-2</v>
      </c>
      <c r="G24" s="23" t="s">
        <v>60</v>
      </c>
      <c r="H24" s="23" t="s">
        <v>61</v>
      </c>
      <c r="I24" s="33"/>
      <c r="J24" s="32" t="str">
        <f t="shared" si="1"/>
        <v/>
      </c>
      <c r="K24" s="27">
        <f>0.023*0.0254^2*1000000</f>
        <v>14.83868</v>
      </c>
      <c r="L24" s="27">
        <f>0.019*0.0254^2*1000000</f>
        <v>12.258039999999999</v>
      </c>
      <c r="M24" s="25">
        <v>70</v>
      </c>
      <c r="N24" s="25"/>
      <c r="O24" s="18"/>
      <c r="P24" s="42" t="str">
        <f t="shared" si="0"/>
        <v/>
      </c>
      <c r="S24" s="21"/>
      <c r="T24" s="21"/>
      <c r="U24" s="18"/>
    </row>
    <row r="25" spans="2:21" x14ac:dyDescent="0.25">
      <c r="B25" s="10" t="s">
        <v>80</v>
      </c>
      <c r="C25" s="11" t="s">
        <v>22</v>
      </c>
      <c r="D25" s="9" t="s">
        <v>33</v>
      </c>
      <c r="E25" s="25">
        <v>0</v>
      </c>
      <c r="F25" s="30">
        <v>7.5999999999999998E-2</v>
      </c>
      <c r="G25" s="23" t="s">
        <v>60</v>
      </c>
      <c r="H25" s="23" t="s">
        <v>61</v>
      </c>
      <c r="I25" s="33"/>
      <c r="J25" s="32" t="str">
        <f t="shared" si="1"/>
        <v/>
      </c>
      <c r="K25" s="27">
        <f>0.012*0.0254^2*1000000</f>
        <v>7.7419199999999995</v>
      </c>
      <c r="L25" s="27">
        <f>0.009*0.0254^2*1000000</f>
        <v>5.8064399999999994</v>
      </c>
      <c r="M25" s="25">
        <v>70</v>
      </c>
      <c r="N25" s="25"/>
      <c r="O25" s="18"/>
      <c r="P25" s="42" t="str">
        <f t="shared" si="0"/>
        <v/>
      </c>
      <c r="S25" s="21"/>
      <c r="T25" s="21"/>
      <c r="U25" s="18"/>
    </row>
    <row r="26" spans="2:21" x14ac:dyDescent="0.25">
      <c r="B26" s="10" t="s">
        <v>80</v>
      </c>
      <c r="C26" s="11" t="s">
        <v>81</v>
      </c>
      <c r="D26" s="9" t="s">
        <v>83</v>
      </c>
      <c r="E26" s="25">
        <v>6</v>
      </c>
      <c r="F26" s="30">
        <v>0.3</v>
      </c>
      <c r="G26" s="23" t="s">
        <v>60</v>
      </c>
      <c r="H26" s="23" t="s">
        <v>61</v>
      </c>
      <c r="I26" s="33">
        <v>2</v>
      </c>
      <c r="J26" s="32">
        <f t="shared" si="1"/>
        <v>150</v>
      </c>
      <c r="K26" s="27">
        <f>0.2*0.0254^2*1000000</f>
        <v>129.03200000000001</v>
      </c>
      <c r="L26" s="27"/>
      <c r="M26" s="25"/>
      <c r="N26" s="25">
        <v>6.3</v>
      </c>
      <c r="O26" s="18"/>
      <c r="P26" s="42"/>
      <c r="S26" s="21"/>
      <c r="T26" s="21"/>
      <c r="U26" s="18"/>
    </row>
    <row r="27" spans="2:21" x14ac:dyDescent="0.25">
      <c r="B27" s="10" t="s">
        <v>80</v>
      </c>
      <c r="C27" s="11" t="s">
        <v>82</v>
      </c>
      <c r="D27" s="9" t="s">
        <v>83</v>
      </c>
      <c r="E27" s="25">
        <v>10</v>
      </c>
      <c r="F27" s="30">
        <v>0.3</v>
      </c>
      <c r="G27" s="23" t="s">
        <v>60</v>
      </c>
      <c r="H27" s="23" t="s">
        <v>61</v>
      </c>
      <c r="I27" s="33">
        <v>1.5</v>
      </c>
      <c r="J27" s="32">
        <f t="shared" si="1"/>
        <v>200</v>
      </c>
      <c r="K27" s="27">
        <f>0.3*0.0254^2*1000000</f>
        <v>193.54799999999997</v>
      </c>
      <c r="L27" s="27"/>
      <c r="M27" s="25"/>
      <c r="N27" s="25">
        <v>6</v>
      </c>
      <c r="O27" s="18"/>
      <c r="P27" s="42"/>
      <c r="S27" s="21"/>
      <c r="T27" s="21"/>
      <c r="U27" s="18"/>
    </row>
    <row r="28" spans="2:21" x14ac:dyDescent="0.25">
      <c r="B28" s="7" t="s">
        <v>8</v>
      </c>
      <c r="C28" s="8" t="s">
        <v>9</v>
      </c>
      <c r="D28" s="9" t="s">
        <v>65</v>
      </c>
      <c r="E28" s="25">
        <v>0</v>
      </c>
      <c r="F28" s="30">
        <v>0.05</v>
      </c>
      <c r="G28" s="23" t="s">
        <v>60</v>
      </c>
      <c r="H28" s="23" t="s">
        <v>61</v>
      </c>
      <c r="I28" s="33">
        <v>0.8</v>
      </c>
      <c r="J28" s="32">
        <f t="shared" si="1"/>
        <v>62.5</v>
      </c>
      <c r="K28" s="27"/>
      <c r="L28" s="25"/>
      <c r="M28" s="25"/>
      <c r="N28" s="25"/>
      <c r="O28" s="18"/>
      <c r="P28" s="42" t="str">
        <f t="shared" si="0"/>
        <v/>
      </c>
      <c r="S28" s="21"/>
      <c r="T28" s="21"/>
      <c r="U28" s="18"/>
    </row>
    <row r="29" spans="2:21" x14ac:dyDescent="0.25">
      <c r="B29" s="7" t="s">
        <v>10</v>
      </c>
      <c r="C29" s="8" t="s">
        <v>11</v>
      </c>
      <c r="D29" s="9" t="s">
        <v>65</v>
      </c>
      <c r="E29" s="25">
        <v>0</v>
      </c>
      <c r="F29" s="30">
        <v>0.05</v>
      </c>
      <c r="G29" s="23" t="s">
        <v>60</v>
      </c>
      <c r="H29" s="23" t="s">
        <v>61</v>
      </c>
      <c r="I29" s="33">
        <v>0.9</v>
      </c>
      <c r="J29" s="32">
        <f t="shared" si="1"/>
        <v>55.555555555555557</v>
      </c>
      <c r="K29" s="27"/>
      <c r="L29" s="25"/>
      <c r="M29" s="25"/>
      <c r="N29" s="25"/>
      <c r="O29" s="18"/>
      <c r="P29" s="42" t="str">
        <f t="shared" si="0"/>
        <v/>
      </c>
      <c r="S29" s="21"/>
      <c r="T29" s="21"/>
      <c r="U29" s="18"/>
    </row>
    <row r="30" spans="2:21" x14ac:dyDescent="0.25">
      <c r="B30" s="7" t="s">
        <v>10</v>
      </c>
      <c r="C30" s="8" t="s">
        <v>20</v>
      </c>
      <c r="D30" s="9" t="s">
        <v>65</v>
      </c>
      <c r="E30" s="25">
        <v>0</v>
      </c>
      <c r="F30" s="30">
        <v>0.05</v>
      </c>
      <c r="G30" s="23" t="s">
        <v>60</v>
      </c>
      <c r="H30" s="23" t="s">
        <v>61</v>
      </c>
      <c r="I30" s="33">
        <v>1.35</v>
      </c>
      <c r="J30" s="32">
        <f t="shared" si="1"/>
        <v>37.037037037037038</v>
      </c>
      <c r="K30" s="27"/>
      <c r="L30" s="27"/>
      <c r="M30" s="27"/>
      <c r="N30" s="27"/>
      <c r="O30" s="19"/>
      <c r="P30" s="42" t="str">
        <f t="shared" si="0"/>
        <v/>
      </c>
      <c r="S30" s="21"/>
      <c r="T30" s="21"/>
      <c r="U30" s="19"/>
    </row>
    <row r="31" spans="2:21" x14ac:dyDescent="0.25">
      <c r="B31" s="7" t="s">
        <v>10</v>
      </c>
      <c r="C31" s="8" t="s">
        <v>12</v>
      </c>
      <c r="D31" s="9" t="s">
        <v>65</v>
      </c>
      <c r="E31" s="25">
        <v>0</v>
      </c>
      <c r="F31" s="30">
        <v>0.05</v>
      </c>
      <c r="G31" s="23" t="s">
        <v>60</v>
      </c>
      <c r="H31" s="23" t="s">
        <v>61</v>
      </c>
      <c r="I31" s="33">
        <v>2.5</v>
      </c>
      <c r="J31" s="32">
        <f t="shared" si="1"/>
        <v>20</v>
      </c>
      <c r="K31" s="27"/>
      <c r="L31" s="27"/>
      <c r="M31" s="27"/>
      <c r="N31" s="27"/>
      <c r="O31" s="19"/>
      <c r="P31" s="42" t="str">
        <f t="shared" si="0"/>
        <v/>
      </c>
      <c r="S31" s="21"/>
      <c r="T31" s="21"/>
      <c r="U31" s="19"/>
    </row>
    <row r="32" spans="2:21" x14ac:dyDescent="0.25">
      <c r="B32" s="7" t="s">
        <v>10</v>
      </c>
      <c r="C32" s="8" t="s">
        <v>21</v>
      </c>
      <c r="D32" s="9" t="s">
        <v>65</v>
      </c>
      <c r="E32" s="25">
        <v>0</v>
      </c>
      <c r="F32" s="30">
        <v>0.05</v>
      </c>
      <c r="G32" s="23" t="s">
        <v>60</v>
      </c>
      <c r="H32" s="23" t="s">
        <v>61</v>
      </c>
      <c r="I32" s="33">
        <v>3</v>
      </c>
      <c r="J32" s="32">
        <f t="shared" si="1"/>
        <v>16.666666666666668</v>
      </c>
      <c r="K32" s="27"/>
      <c r="L32" s="27"/>
      <c r="M32" s="27"/>
      <c r="N32" s="27"/>
      <c r="O32" s="19"/>
      <c r="P32" s="42" t="str">
        <f t="shared" si="0"/>
        <v/>
      </c>
      <c r="S32" s="21"/>
      <c r="T32" s="21"/>
      <c r="U32" s="19"/>
    </row>
    <row r="33" spans="2:21" x14ac:dyDescent="0.25">
      <c r="B33" s="7" t="s">
        <v>10</v>
      </c>
      <c r="C33" s="8" t="s">
        <v>13</v>
      </c>
      <c r="D33" s="9" t="s">
        <v>66</v>
      </c>
      <c r="E33" s="25">
        <v>0</v>
      </c>
      <c r="F33" s="30">
        <v>0.3</v>
      </c>
      <c r="G33" s="23" t="s">
        <v>60</v>
      </c>
      <c r="H33" s="23" t="s">
        <v>61</v>
      </c>
      <c r="I33" s="33">
        <v>3.4</v>
      </c>
      <c r="J33" s="32">
        <f t="shared" si="1"/>
        <v>88.235294117647058</v>
      </c>
      <c r="K33" s="27"/>
      <c r="L33" s="27"/>
      <c r="M33" s="27"/>
      <c r="N33" s="27"/>
      <c r="O33" s="19"/>
      <c r="P33" s="42" t="str">
        <f t="shared" si="0"/>
        <v/>
      </c>
      <c r="S33" s="21"/>
      <c r="T33" s="21"/>
      <c r="U33" s="19"/>
    </row>
    <row r="34" spans="2:21" x14ac:dyDescent="0.25">
      <c r="B34" s="7" t="s">
        <v>6</v>
      </c>
      <c r="C34" s="8" t="s">
        <v>35</v>
      </c>
      <c r="D34" s="9" t="s">
        <v>42</v>
      </c>
      <c r="E34" s="25">
        <v>1.5</v>
      </c>
      <c r="F34" s="30">
        <v>0.5</v>
      </c>
      <c r="G34" s="23" t="s">
        <v>60</v>
      </c>
      <c r="H34" s="23" t="s">
        <v>61</v>
      </c>
      <c r="I34" s="33">
        <v>6</v>
      </c>
      <c r="J34" s="32">
        <f t="shared" si="1"/>
        <v>83.333333333333329</v>
      </c>
      <c r="K34" s="27"/>
      <c r="L34" s="27"/>
      <c r="M34" s="27"/>
      <c r="N34" s="27"/>
      <c r="O34" s="19"/>
      <c r="P34" s="42" t="str">
        <f t="shared" si="0"/>
        <v/>
      </c>
      <c r="S34" s="21"/>
      <c r="T34" s="21"/>
      <c r="U34" s="19"/>
    </row>
    <row r="35" spans="2:21" ht="15" customHeight="1" x14ac:dyDescent="0.25">
      <c r="B35" s="7" t="s">
        <v>3</v>
      </c>
      <c r="C35" s="8" t="s">
        <v>37</v>
      </c>
      <c r="D35" s="9" t="s">
        <v>39</v>
      </c>
      <c r="E35" s="25">
        <f>10*F35</f>
        <v>10</v>
      </c>
      <c r="F35" s="30">
        <v>1</v>
      </c>
      <c r="G35" s="23" t="s">
        <v>60</v>
      </c>
      <c r="H35" s="23" t="s">
        <v>61</v>
      </c>
      <c r="I35" s="33">
        <v>2</v>
      </c>
      <c r="J35" s="32">
        <f t="shared" si="1"/>
        <v>500</v>
      </c>
      <c r="K35" s="27">
        <f>0.21*0.0254^2*1000000</f>
        <v>135.48359999999997</v>
      </c>
      <c r="L35" s="27">
        <f>0.19*0.0254^2*1000000</f>
        <v>122.58040000000001</v>
      </c>
      <c r="M35" s="25">
        <v>60</v>
      </c>
      <c r="N35" s="25"/>
      <c r="O35" s="35" t="s">
        <v>41</v>
      </c>
      <c r="P35" s="42">
        <f t="shared" si="0"/>
        <v>13.548359999999997</v>
      </c>
      <c r="S35" s="21"/>
      <c r="T35" s="21"/>
      <c r="U35" s="18"/>
    </row>
    <row r="36" spans="2:21" ht="15" customHeight="1" x14ac:dyDescent="0.25">
      <c r="B36" s="7" t="s">
        <v>3</v>
      </c>
      <c r="C36" s="8" t="s">
        <v>38</v>
      </c>
      <c r="D36" s="9" t="s">
        <v>40</v>
      </c>
      <c r="E36" s="25">
        <f>10*F36</f>
        <v>20</v>
      </c>
      <c r="F36" s="30">
        <v>2</v>
      </c>
      <c r="G36" s="23" t="s">
        <v>60</v>
      </c>
      <c r="H36" s="23" t="s">
        <v>61</v>
      </c>
      <c r="I36" s="33">
        <v>2</v>
      </c>
      <c r="J36" s="32">
        <f t="shared" si="1"/>
        <v>1000</v>
      </c>
      <c r="K36" s="27">
        <f>0.27*0.0254^2*1000000</f>
        <v>174.19320000000002</v>
      </c>
      <c r="L36" s="27">
        <f>0.21*0.0254^2*1000000</f>
        <v>135.48359999999997</v>
      </c>
      <c r="M36" s="27">
        <v>60</v>
      </c>
      <c r="N36" s="27"/>
      <c r="O36" s="35" t="s">
        <v>41</v>
      </c>
      <c r="P36" s="42">
        <f t="shared" si="0"/>
        <v>8.7096600000000013</v>
      </c>
      <c r="S36" s="21"/>
      <c r="T36" s="21"/>
      <c r="U36" s="19"/>
    </row>
    <row r="37" spans="2:21" ht="30" x14ac:dyDescent="0.25">
      <c r="B37" s="7" t="s">
        <v>5</v>
      </c>
      <c r="C37" s="8" t="s">
        <v>43</v>
      </c>
      <c r="D37" s="9" t="s">
        <v>44</v>
      </c>
      <c r="E37" s="25">
        <v>14</v>
      </c>
      <c r="F37" s="30">
        <v>3</v>
      </c>
      <c r="G37" s="23" t="s">
        <v>60</v>
      </c>
      <c r="H37" s="23" t="s">
        <v>61</v>
      </c>
      <c r="I37" s="33">
        <v>2.8</v>
      </c>
      <c r="J37" s="32">
        <f t="shared" si="1"/>
        <v>1071.4285714285716</v>
      </c>
      <c r="K37" s="27"/>
      <c r="L37" s="27"/>
      <c r="M37" s="27"/>
      <c r="N37" s="27"/>
      <c r="O37" s="19" t="s">
        <v>45</v>
      </c>
      <c r="P37" s="42" t="str">
        <f t="shared" si="0"/>
        <v/>
      </c>
      <c r="S37" s="21"/>
      <c r="T37" s="21"/>
      <c r="U37" s="19"/>
    </row>
    <row r="38" spans="2:21" ht="18" x14ac:dyDescent="0.35">
      <c r="B38" s="7"/>
      <c r="C38" s="8" t="s">
        <v>14</v>
      </c>
      <c r="D38" s="9" t="s">
        <v>85</v>
      </c>
      <c r="E38" s="25">
        <f>20*F38</f>
        <v>7.6</v>
      </c>
      <c r="F38" s="30">
        <v>0.38</v>
      </c>
      <c r="G38" s="23" t="s">
        <v>61</v>
      </c>
      <c r="H38" s="23" t="s">
        <v>61</v>
      </c>
      <c r="I38" s="33">
        <v>24</v>
      </c>
      <c r="J38" s="32">
        <f t="shared" si="1"/>
        <v>15.833333333333334</v>
      </c>
      <c r="K38" s="27"/>
      <c r="L38" s="27"/>
      <c r="M38" s="27"/>
      <c r="N38" s="27"/>
      <c r="O38" s="19"/>
      <c r="P38" s="42" t="str">
        <f t="shared" si="0"/>
        <v/>
      </c>
      <c r="S38" s="21"/>
      <c r="T38" s="21"/>
      <c r="U38" s="19"/>
    </row>
    <row r="39" spans="2:21" x14ac:dyDescent="0.25">
      <c r="B39" s="7"/>
      <c r="C39" s="8" t="s">
        <v>14</v>
      </c>
      <c r="D39" s="9" t="s">
        <v>34</v>
      </c>
      <c r="E39" s="25">
        <f>20*F39</f>
        <v>12.6</v>
      </c>
      <c r="F39" s="30">
        <v>0.63</v>
      </c>
      <c r="G39" s="23" t="s">
        <v>61</v>
      </c>
      <c r="H39" s="23" t="s">
        <v>61</v>
      </c>
      <c r="I39" s="33">
        <v>170</v>
      </c>
      <c r="J39" s="32">
        <f t="shared" si="1"/>
        <v>3.7058823529411766</v>
      </c>
      <c r="K39" s="27"/>
      <c r="L39" s="27"/>
      <c r="M39" s="27"/>
      <c r="N39" s="27"/>
      <c r="O39" s="19"/>
      <c r="P39" s="42" t="str">
        <f t="shared" si="0"/>
        <v/>
      </c>
      <c r="S39" s="21"/>
      <c r="T39" s="21"/>
      <c r="U39" s="19"/>
    </row>
    <row r="40" spans="2:21" ht="18" x14ac:dyDescent="0.35">
      <c r="B40" s="7"/>
      <c r="C40" s="1" t="s">
        <v>14</v>
      </c>
      <c r="D40" s="9" t="s">
        <v>86</v>
      </c>
      <c r="E40" s="25"/>
      <c r="F40" s="30"/>
      <c r="G40" s="23" t="s">
        <v>61</v>
      </c>
      <c r="H40" s="23" t="s">
        <v>61</v>
      </c>
      <c r="I40" s="33">
        <v>90</v>
      </c>
      <c r="J40" s="32"/>
      <c r="K40" s="27"/>
      <c r="L40" s="27"/>
      <c r="M40" s="27"/>
      <c r="N40" s="27"/>
      <c r="O40" s="19"/>
      <c r="P40" s="42"/>
      <c r="S40" s="21"/>
      <c r="T40" s="21"/>
      <c r="U40" s="19"/>
    </row>
    <row r="41" spans="2:21" x14ac:dyDescent="0.25">
      <c r="B41" s="10"/>
      <c r="C41" s="12"/>
      <c r="D41" s="1" t="s">
        <v>15</v>
      </c>
      <c r="E41" s="25">
        <v>0</v>
      </c>
      <c r="F41" s="30">
        <v>0.1</v>
      </c>
      <c r="G41" s="23" t="s">
        <v>61</v>
      </c>
      <c r="H41" s="23" t="s">
        <v>60</v>
      </c>
      <c r="I41" s="33">
        <v>65</v>
      </c>
      <c r="J41" s="32">
        <f t="shared" si="1"/>
        <v>1.5384615384615385</v>
      </c>
      <c r="K41" s="27"/>
      <c r="L41" s="27"/>
      <c r="M41" s="27"/>
      <c r="N41" s="27"/>
      <c r="O41" s="19"/>
      <c r="P41" s="42" t="str">
        <f t="shared" si="0"/>
        <v/>
      </c>
      <c r="S41" s="21"/>
      <c r="T41" s="21"/>
      <c r="U41" s="19"/>
    </row>
    <row r="42" spans="2:21" x14ac:dyDescent="0.25">
      <c r="B42" s="10"/>
      <c r="C42" s="12"/>
      <c r="D42" s="1" t="s">
        <v>16</v>
      </c>
      <c r="E42" s="25">
        <v>0</v>
      </c>
      <c r="F42" s="30">
        <v>0.3</v>
      </c>
      <c r="G42" s="23" t="s">
        <v>61</v>
      </c>
      <c r="H42" s="23" t="s">
        <v>61</v>
      </c>
      <c r="I42" s="33">
        <v>385</v>
      </c>
      <c r="J42" s="32">
        <f t="shared" si="1"/>
        <v>0.77922077922077926</v>
      </c>
      <c r="K42" s="27"/>
      <c r="L42" s="27"/>
      <c r="M42" s="27"/>
      <c r="N42" s="27"/>
      <c r="O42" s="19"/>
      <c r="P42" s="42" t="str">
        <f t="shared" si="0"/>
        <v/>
      </c>
      <c r="S42" s="21"/>
      <c r="T42" s="21"/>
      <c r="U42" s="19"/>
    </row>
    <row r="43" spans="2:21" x14ac:dyDescent="0.25">
      <c r="B43" s="10"/>
      <c r="C43" s="1"/>
      <c r="D43" s="9" t="s">
        <v>84</v>
      </c>
      <c r="E43" s="25">
        <v>0</v>
      </c>
      <c r="F43" s="30"/>
      <c r="G43" s="23" t="s">
        <v>61</v>
      </c>
      <c r="H43" s="23" t="s">
        <v>61</v>
      </c>
      <c r="I43" s="33">
        <v>235</v>
      </c>
      <c r="J43" s="25"/>
      <c r="K43" s="27"/>
      <c r="L43" s="27"/>
      <c r="M43" s="27"/>
      <c r="N43" s="27"/>
      <c r="O43" s="19"/>
      <c r="P43" s="42" t="str">
        <f t="shared" si="0"/>
        <v/>
      </c>
      <c r="S43" s="21"/>
      <c r="T43" s="21"/>
      <c r="U43" s="21"/>
    </row>
    <row r="44" spans="2:21" x14ac:dyDescent="0.25">
      <c r="B44" s="10"/>
      <c r="C44" s="1"/>
      <c r="D44" s="9"/>
      <c r="E44" s="25"/>
      <c r="F44" s="30"/>
      <c r="G44" s="23"/>
      <c r="H44" s="23"/>
      <c r="I44" s="33"/>
      <c r="J44" s="25"/>
      <c r="K44" s="27"/>
      <c r="L44" s="27"/>
      <c r="M44" s="27"/>
      <c r="N44" s="27"/>
      <c r="O44" s="19"/>
      <c r="P44" s="42"/>
      <c r="S44" s="21"/>
      <c r="T44" s="21"/>
      <c r="U44" s="21"/>
    </row>
    <row r="45" spans="2:21" ht="15.75" thickBot="1" x14ac:dyDescent="0.3">
      <c r="B45" s="13"/>
      <c r="C45" s="14"/>
      <c r="D45" s="15"/>
      <c r="E45" s="26"/>
      <c r="F45" s="31"/>
      <c r="G45" s="16"/>
      <c r="H45" s="16"/>
      <c r="I45" s="34"/>
      <c r="J45" s="26"/>
      <c r="K45" s="28"/>
      <c r="L45" s="28"/>
      <c r="M45" s="28"/>
      <c r="N45" s="28"/>
      <c r="O45" s="20"/>
      <c r="P45" s="43" t="str">
        <f t="shared" si="0"/>
        <v/>
      </c>
      <c r="S45" s="21"/>
      <c r="T45" s="21"/>
      <c r="U45" s="21"/>
    </row>
  </sheetData>
  <hyperlinks>
    <hyperlink ref="C7" r:id="rId1"/>
    <hyperlink ref="C8" r:id="rId2"/>
    <hyperlink ref="C6" r:id="rId3"/>
    <hyperlink ref="C9" r:id="rId4"/>
    <hyperlink ref="C12" r:id="rId5" display="TFO-X200-Si"/>
    <hyperlink ref="C13" r:id="rId6" display="TFO-X300-SI"/>
    <hyperlink ref="C20" r:id="rId7"/>
    <hyperlink ref="C28" r:id="rId8"/>
    <hyperlink ref="C29" r:id="rId9"/>
    <hyperlink ref="C30" r:id="rId10"/>
    <hyperlink ref="C31" r:id="rId11"/>
    <hyperlink ref="C32" r:id="rId12"/>
    <hyperlink ref="C33" r:id="rId13"/>
    <hyperlink ref="C38" r:id="rId14"/>
    <hyperlink ref="C39" r:id="rId15"/>
    <hyperlink ref="C10" r:id="rId16"/>
    <hyperlink ref="C23" r:id="rId17" display="Hi-Flow 300P"/>
    <hyperlink ref="C24" r:id="rId18"/>
    <hyperlink ref="C25" r:id="rId19"/>
    <hyperlink ref="C21" r:id="rId20" display="TPC-S050-KA"/>
    <hyperlink ref="C34" r:id="rId21"/>
    <hyperlink ref="C35" r:id="rId22"/>
    <hyperlink ref="C36" r:id="rId23"/>
    <hyperlink ref="O35" r:id="rId24"/>
    <hyperlink ref="O36" r:id="rId25"/>
    <hyperlink ref="C37" r:id="rId26"/>
    <hyperlink ref="C22" r:id="rId27" display="Hi-Flow 300P"/>
    <hyperlink ref="C11" r:id="rId28"/>
    <hyperlink ref="C14" r:id="rId29"/>
    <hyperlink ref="C15" r:id="rId30"/>
    <hyperlink ref="C16" r:id="rId31"/>
    <hyperlink ref="C17" r:id="rId32"/>
    <hyperlink ref="C18" r:id="rId33"/>
    <hyperlink ref="C19" r:id="rId34"/>
    <hyperlink ref="C26" r:id="rId35"/>
    <hyperlink ref="C27" r:id="rId36"/>
  </hyperlinks>
  <pageMargins left="0.7" right="0.7" top="0.78740157499999996" bottom="0.78740157499999996" header="0.3" footer="0.3"/>
  <pageSetup paperSize="9" orientation="portrait" r:id="rId3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5</vt:i4>
      </vt:variant>
    </vt:vector>
  </HeadingPairs>
  <TitlesOfParts>
    <vt:vector size="6" baseType="lpstr">
      <vt:lpstr>Tabelle1</vt:lpstr>
      <vt:lpstr>Tabelle1!are</vt:lpstr>
      <vt:lpstr>Tabelle1!area</vt:lpstr>
      <vt:lpstr>Tabelle1!thConductivity</vt:lpstr>
      <vt:lpstr>Tabelle1!thickness</vt:lpstr>
      <vt:lpstr>Tabelle1!thikness</vt:lpstr>
    </vt:vector>
  </TitlesOfParts>
  <Company>Brusa Elektronik AG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Mani</dc:creator>
  <cp:lastModifiedBy>Fabio Mani</cp:lastModifiedBy>
  <dcterms:created xsi:type="dcterms:W3CDTF">2017-09-26T14:17:14Z</dcterms:created>
  <dcterms:modified xsi:type="dcterms:W3CDTF">2018-02-16T13:45:32Z</dcterms:modified>
</cp:coreProperties>
</file>